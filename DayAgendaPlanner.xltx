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Sani\Desktop\"/>
    </mc:Choice>
  </mc:AlternateContent>
  <bookViews>
    <workbookView xWindow="0" yWindow="0" windowWidth="19170" windowHeight="7470" activeTab="2"/>
  </bookViews>
  <sheets>
    <sheet name="Dashboard" sheetId="13" r:id="rId1"/>
    <sheet name="Sheet1" sheetId="17" state="hidden" r:id="rId2"/>
    <sheet name="Day Agenda" sheetId="1" r:id="rId3"/>
    <sheet name="Time" sheetId="15" state="hidden" r:id="rId4"/>
  </sheets>
  <definedNames>
    <definedName name="_xlnm.Print_Titles" localSheetId="2">'Day Agenda'!$8:$8</definedName>
    <definedName name="Slicer_Category">#N/A</definedName>
    <definedName name="Slicer_Facilitator">#N/A</definedName>
    <definedName name="Slicer_Module">#N/A</definedName>
  </definedNames>
  <calcPr calcId="162913"/>
  <pivotCaches>
    <pivotCache cacheId="0" r:id="rId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 i="1" l="1"/>
  <c r="C9" i="1"/>
  <c r="G9" i="1"/>
  <c r="K6" i="13" l="1"/>
  <c r="K7" i="13"/>
  <c r="A10" i="1"/>
  <c r="A11" i="1"/>
  <c r="A12" i="1"/>
  <c r="A13" i="1"/>
  <c r="A14" i="1"/>
  <c r="A15" i="1"/>
  <c r="A16" i="1"/>
  <c r="A17" i="1"/>
  <c r="A18" i="1"/>
  <c r="A9" i="1"/>
  <c r="B9" i="1"/>
  <c r="B10" i="1"/>
  <c r="B11" i="1"/>
  <c r="B12" i="1"/>
  <c r="B13" i="1"/>
  <c r="B14" i="1"/>
  <c r="B15" i="1"/>
  <c r="B16" i="1"/>
  <c r="B17" i="1"/>
  <c r="B18" i="1"/>
  <c r="A3" i="15" l="1"/>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I9" i="1"/>
  <c r="A2" i="15" l="1"/>
  <c r="F2" i="15" l="1"/>
  <c r="B5" i="15" l="1"/>
  <c r="B9" i="15"/>
  <c r="B13" i="15"/>
  <c r="B17" i="15"/>
  <c r="B21" i="15"/>
  <c r="B25" i="15"/>
  <c r="B29" i="15"/>
  <c r="B33" i="15"/>
  <c r="B37" i="15"/>
  <c r="B41" i="15"/>
  <c r="B45" i="15"/>
  <c r="B49" i="15"/>
  <c r="B53" i="15"/>
  <c r="B57" i="15"/>
  <c r="B61" i="15"/>
  <c r="B65" i="15"/>
  <c r="B69" i="15"/>
  <c r="B66" i="15"/>
  <c r="B12" i="15"/>
  <c r="B20" i="15"/>
  <c r="B32" i="15"/>
  <c r="B40" i="15"/>
  <c r="B48" i="15"/>
  <c r="B56" i="15"/>
  <c r="B6" i="15"/>
  <c r="B10" i="15"/>
  <c r="B14" i="15"/>
  <c r="B18" i="15"/>
  <c r="B22" i="15"/>
  <c r="B26" i="15"/>
  <c r="B30" i="15"/>
  <c r="B34" i="15"/>
  <c r="B38" i="15"/>
  <c r="B42" i="15"/>
  <c r="B46" i="15"/>
  <c r="B50" i="15"/>
  <c r="B54" i="15"/>
  <c r="B58" i="15"/>
  <c r="B62" i="15"/>
  <c r="B2" i="15"/>
  <c r="B24" i="15"/>
  <c r="B44" i="15"/>
  <c r="B64" i="15"/>
  <c r="B3" i="15"/>
  <c r="B7" i="15"/>
  <c r="B11" i="15"/>
  <c r="J18" i="1" s="1"/>
  <c r="B15" i="15"/>
  <c r="B19" i="15"/>
  <c r="B23" i="15"/>
  <c r="B27" i="15"/>
  <c r="B31" i="15"/>
  <c r="B35" i="15"/>
  <c r="B39" i="15"/>
  <c r="B43" i="15"/>
  <c r="B47" i="15"/>
  <c r="B51" i="15"/>
  <c r="B55" i="15"/>
  <c r="B59" i="15"/>
  <c r="B63" i="15"/>
  <c r="B67" i="15"/>
  <c r="B4" i="15"/>
  <c r="B8" i="15"/>
  <c r="B16" i="15"/>
  <c r="B28" i="15"/>
  <c r="B36" i="15"/>
  <c r="B52" i="15"/>
  <c r="B60" i="15"/>
  <c r="B68" i="15"/>
  <c r="J17" i="1" l="1"/>
  <c r="I18" i="1"/>
  <c r="J16" i="1"/>
  <c r="I17" i="1"/>
  <c r="I14" i="1"/>
  <c r="J13" i="1"/>
  <c r="I13" i="1"/>
  <c r="J12" i="1"/>
  <c r="I11" i="1"/>
  <c r="J10" i="1"/>
  <c r="I12" i="1"/>
  <c r="J11" i="1"/>
  <c r="I15" i="1"/>
  <c r="J14" i="1"/>
  <c r="I10" i="1"/>
  <c r="J9" i="1"/>
  <c r="K8" i="13" s="1"/>
  <c r="I16" i="1"/>
  <c r="J15" i="1"/>
</calcChain>
</file>

<file path=xl/sharedStrings.xml><?xml version="1.0" encoding="utf-8"?>
<sst xmlns="http://schemas.openxmlformats.org/spreadsheetml/2006/main" count="75" uniqueCount="50">
  <si>
    <t>Module</t>
  </si>
  <si>
    <t>Day</t>
  </si>
  <si>
    <t>Topics</t>
  </si>
  <si>
    <t>Duration</t>
  </si>
  <si>
    <t>Course overview</t>
  </si>
  <si>
    <t>Start</t>
  </si>
  <si>
    <t>End</t>
  </si>
  <si>
    <t>Introduction</t>
  </si>
  <si>
    <t>Duration(min)</t>
  </si>
  <si>
    <t>Date</t>
  </si>
  <si>
    <t>Start Time</t>
  </si>
  <si>
    <t>Sum of Duration(min)</t>
  </si>
  <si>
    <t>Category</t>
  </si>
  <si>
    <t>Discussion</t>
  </si>
  <si>
    <t>Review</t>
  </si>
  <si>
    <t>Row Labels</t>
  </si>
  <si>
    <t>Grand Total</t>
  </si>
  <si>
    <t>Module1</t>
  </si>
  <si>
    <t>Module2</t>
  </si>
  <si>
    <t>Module3</t>
  </si>
  <si>
    <t>Quiz</t>
  </si>
  <si>
    <t>Facilitator</t>
  </si>
  <si>
    <t>Start time</t>
  </si>
  <si>
    <t>End time</t>
  </si>
  <si>
    <t>22/01/2020</t>
  </si>
  <si>
    <t>Duration (Hours)</t>
  </si>
  <si>
    <t>Dashboard for Day Agenda Panner</t>
  </si>
  <si>
    <t>Day Agenda Planner</t>
  </si>
  <si>
    <t>The Problem</t>
  </si>
  <si>
    <t>Your experience</t>
  </si>
  <si>
    <t>What did you do?</t>
  </si>
  <si>
    <t>Best practices</t>
  </si>
  <si>
    <t>Lecture</t>
  </si>
  <si>
    <t>Summary</t>
  </si>
  <si>
    <t>Feedback</t>
  </si>
  <si>
    <t>Ikenna</t>
  </si>
  <si>
    <t>Abu</t>
  </si>
  <si>
    <t>Sola</t>
  </si>
  <si>
    <t>Do not alter any item on this row</t>
  </si>
  <si>
    <t>Summary of course structure and activities</t>
  </si>
  <si>
    <t>Why are you here?</t>
  </si>
  <si>
    <t>Description</t>
  </si>
  <si>
    <t>Feedback from participants to be completed online</t>
  </si>
  <si>
    <t>Quiz testing understanding of best practicesto be completed online</t>
  </si>
  <si>
    <t>Summary of best practices</t>
  </si>
  <si>
    <t>Sggested beest practices by all participants</t>
  </si>
  <si>
    <t>Discussion on individual approaches to solving problem</t>
  </si>
  <si>
    <t>Individual perspectives on the problem</t>
  </si>
  <si>
    <t>The problem statement and resulting challenges</t>
  </si>
  <si>
    <t>Individual perspectives on the purpose of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</si>
</sst>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F800]dddd\,\ mmmm\ dd\,\ yyyy"/>
  </numFmts>
  <fonts count="5" x14ac:knownFonts="1">
    <font>
      <sz val="11"/>
      <color theme="1"/>
      <name val="Calibri"/>
      <family val="2"/>
      <scheme val="minor"/>
    </font>
    <font>
      <b/>
      <sz val="15"/>
      <color theme="3"/>
      <name val="Calibri"/>
      <family val="2"/>
      <scheme val="minor"/>
    </font>
    <font>
      <i/>
      <sz val="11"/>
      <color rgb="FF7F7F7F"/>
      <name val="Calibri"/>
      <family val="2"/>
      <scheme val="minor"/>
    </font>
    <font>
      <sz val="28"/>
      <color theme="9"/>
      <name val="Calibri"/>
      <family val="2"/>
      <scheme val="minor"/>
    </font>
    <font>
      <b/>
      <sz val="11"/>
      <color theme="1"/>
      <name val="Calibri"/>
      <family val="2"/>
      <scheme val="minor"/>
    </font>
  </fonts>
  <fills count="3">
    <fill>
      <patternFill patternType="none"/>
    </fill>
    <fill>
      <patternFill patternType="gray125"/>
    </fill>
    <fill>
      <patternFill patternType="solid">
        <fgColor theme="9"/>
        <bgColor theme="9"/>
      </patternFill>
    </fill>
  </fills>
  <borders count="10">
    <border>
      <left/>
      <right/>
      <top/>
      <bottom/>
      <diagonal/>
    </border>
    <border>
      <left/>
      <right/>
      <top/>
      <bottom style="thick">
        <color theme="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9"/>
      </top>
      <bottom style="thick">
        <color theme="4"/>
      </bottom>
      <diagonal/>
    </border>
    <border>
      <left/>
      <right style="thin">
        <color theme="9"/>
      </right>
      <top style="thin">
        <color theme="9"/>
      </top>
      <bottom/>
      <diagonal/>
    </border>
    <border>
      <left/>
      <right/>
      <top style="double">
        <color theme="9"/>
      </top>
      <bottom style="thin">
        <color theme="9"/>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1" applyNumberFormat="0" applyFill="0" applyAlignment="0" applyProtection="0"/>
    <xf numFmtId="0" fontId="2" fillId="0" borderId="0" applyNumberFormat="0" applyFill="0" applyBorder="0" applyAlignment="0" applyProtection="0"/>
  </cellStyleXfs>
  <cellXfs count="38">
    <xf numFmtId="0" fontId="0" fillId="0" borderId="0" xfId="0"/>
    <xf numFmtId="0" fontId="0" fillId="0" borderId="0" xfId="0" applyAlignment="1">
      <alignment wrapText="1"/>
    </xf>
    <xf numFmtId="0" fontId="0" fillId="0" borderId="0" xfId="0"/>
    <xf numFmtId="0" fontId="0" fillId="0" borderId="0" xfId="0" applyAlignment="1">
      <alignment horizontal="left" vertical="center"/>
    </xf>
    <xf numFmtId="0" fontId="0" fillId="0" borderId="0" xfId="0" applyAlignment="1">
      <alignment horizontal="left"/>
    </xf>
    <xf numFmtId="0" fontId="0" fillId="0" borderId="0" xfId="0" applyAlignment="1">
      <alignment horizontal="left" vertical="center" wrapText="1"/>
    </xf>
    <xf numFmtId="0" fontId="2" fillId="0" borderId="0" xfId="2" applyBorder="1" applyAlignment="1">
      <alignment wrapText="1"/>
    </xf>
    <xf numFmtId="0" fontId="0" fillId="0" borderId="0" xfId="0" applyFill="1"/>
    <xf numFmtId="0" fontId="0" fillId="0" borderId="4" xfId="0" applyFill="1" applyBorder="1" applyAlignment="1">
      <alignment wrapText="1"/>
    </xf>
    <xf numFmtId="0" fontId="2" fillId="0" borderId="5" xfId="2" applyFill="1" applyBorder="1" applyAlignment="1">
      <alignment wrapText="1"/>
    </xf>
    <xf numFmtId="0" fontId="0" fillId="0" borderId="2" xfId="0" applyFill="1" applyBorder="1" applyAlignment="1">
      <alignment wrapText="1"/>
    </xf>
    <xf numFmtId="0" fontId="0" fillId="0" borderId="0" xfId="0" applyFill="1" applyBorder="1" applyAlignment="1">
      <alignment wrapText="1"/>
    </xf>
    <xf numFmtId="0" fontId="1" fillId="2" borderId="6" xfId="1" applyFont="1" applyFill="1" applyBorder="1"/>
    <xf numFmtId="164" fontId="0" fillId="0" borderId="0" xfId="0" applyNumberFormat="1"/>
    <xf numFmtId="164" fontId="0" fillId="0" borderId="7" xfId="0" applyNumberFormat="1" applyFont="1" applyBorder="1"/>
    <xf numFmtId="0" fontId="4" fillId="0" borderId="8" xfId="0" applyFont="1" applyBorder="1"/>
    <xf numFmtId="0" fontId="0" fillId="0" borderId="0" xfId="0" applyAlignment="1">
      <alignment horizontal="right"/>
    </xf>
    <xf numFmtId="0" fontId="1" fillId="0" borderId="1" xfId="1" applyAlignment="1">
      <alignment horizontal="right"/>
    </xf>
    <xf numFmtId="164" fontId="0" fillId="0" borderId="0" xfId="0" applyNumberFormat="1" applyAlignment="1">
      <alignment horizontal="right"/>
    </xf>
    <xf numFmtId="0" fontId="1" fillId="0" borderId="1" xfId="1" applyAlignment="1">
      <alignment horizontal="right" wrapText="1"/>
    </xf>
    <xf numFmtId="0" fontId="3" fillId="0" borderId="0" xfId="0" applyFont="1" applyAlignment="1">
      <alignment horizontal="left" vertical="center"/>
    </xf>
    <xf numFmtId="0" fontId="0" fillId="0" borderId="0" xfId="0" applyAlignment="1">
      <alignment horizontal="left" wrapText="1"/>
    </xf>
    <xf numFmtId="0" fontId="1" fillId="0" borderId="1" xfId="1" applyAlignment="1">
      <alignment horizontal="left"/>
    </xf>
    <xf numFmtId="0" fontId="1" fillId="0" borderId="1" xfId="1" applyAlignment="1">
      <alignment horizontal="left" wrapText="1"/>
    </xf>
    <xf numFmtId="14" fontId="0" fillId="0" borderId="0" xfId="0" applyNumberFormat="1" applyAlignment="1">
      <alignment horizontal="right"/>
    </xf>
    <xf numFmtId="1" fontId="0" fillId="0" borderId="0" xfId="0" applyNumberFormat="1" applyAlignment="1">
      <alignment horizontal="right"/>
    </xf>
    <xf numFmtId="1" fontId="1" fillId="0" borderId="1" xfId="1" applyNumberFormat="1" applyAlignment="1">
      <alignment horizontal="right"/>
    </xf>
    <xf numFmtId="0" fontId="0" fillId="0" borderId="0" xfId="0" applyNumberFormat="1"/>
    <xf numFmtId="0" fontId="0" fillId="0" borderId="0" xfId="0" pivotButton="1"/>
    <xf numFmtId="0" fontId="4" fillId="0" borderId="9" xfId="0" applyFont="1" applyBorder="1" applyAlignment="1">
      <alignment horizontal="right"/>
    </xf>
    <xf numFmtId="164" fontId="4" fillId="0" borderId="9" xfId="0" applyNumberFormat="1" applyFont="1" applyBorder="1" applyAlignment="1">
      <alignment horizontal="right"/>
    </xf>
    <xf numFmtId="165" fontId="4" fillId="0" borderId="9" xfId="0" applyNumberFormat="1" applyFont="1" applyBorder="1" applyAlignment="1">
      <alignment horizontal="right"/>
    </xf>
    <xf numFmtId="165" fontId="0" fillId="0" borderId="0" xfId="0" applyNumberFormat="1" applyAlignment="1">
      <alignment horizontal="right"/>
    </xf>
    <xf numFmtId="14" fontId="1" fillId="0" borderId="1" xfId="1" applyNumberFormat="1" applyAlignment="1">
      <alignment horizontal="left"/>
    </xf>
    <xf numFmtId="164" fontId="2" fillId="0" borderId="3" xfId="2" applyNumberFormat="1" applyFill="1" applyBorder="1" applyAlignment="1">
      <alignment wrapText="1"/>
    </xf>
    <xf numFmtId="1" fontId="4" fillId="0" borderId="9" xfId="0" applyNumberFormat="1" applyFont="1" applyBorder="1" applyAlignment="1">
      <alignment horizontal="right"/>
    </xf>
    <xf numFmtId="0" fontId="3" fillId="0" borderId="0" xfId="0" applyFont="1" applyAlignment="1">
      <alignment vertical="center" wrapText="1"/>
    </xf>
    <xf numFmtId="0" fontId="3" fillId="0" borderId="0" xfId="0" applyFont="1" applyAlignment="1">
      <alignment horizontal="center" vertical="center" wrapText="1"/>
    </xf>
  </cellXfs>
  <cellStyles count="3">
    <cellStyle name="Explanatory Text" xfId="2" builtinId="53"/>
    <cellStyle name="Heading 1" xfId="1" builtinId="16"/>
    <cellStyle name="Normal" xfId="0" builtinId="0"/>
  </cellStyles>
  <dxfs count="22">
    <dxf>
      <alignment horizontal="right" vertical="bottom" textRotation="0" wrapText="0" indent="0" justifyLastLine="0" shrinkToFit="0" readingOrder="0"/>
    </dxf>
    <dxf>
      <numFmt numFmtId="164" formatCode="[$-F400]h:mm:ss\ AM/PM"/>
      <alignment horizontal="right" vertical="bottom" textRotation="0" wrapText="0" indent="0" justifyLastLine="0" shrinkToFit="0" readingOrder="0"/>
    </dxf>
    <dxf>
      <alignment horizontal="right" vertical="bottom" textRotation="0" wrapText="0" indent="0" justifyLastLine="0" shrinkToFit="0" readingOrder="0"/>
    </dxf>
    <dxf>
      <numFmt numFmtId="164" formatCode="[$-F400]h:mm:ss\ AM/PM"/>
      <alignment horizontal="right" vertical="bottom" textRotation="0" indent="0" justifyLastLine="0" shrinkToFit="0" readingOrder="0"/>
    </dxf>
    <dxf>
      <alignment horizontal="right" vertical="bottom" textRotation="0" wrapText="0" indent="0" justifyLastLine="0" shrinkToFit="0" readingOrder="0"/>
    </dxf>
    <dxf>
      <alignment horizontal="right" textRotation="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9" formatCode="m/d/yyyy"/>
      <alignment horizontal="right" vertical="bottom" textRotation="0" wrapText="0" indent="0" justifyLastLine="0" shrinkToFit="0" readingOrder="0"/>
    </dxf>
    <dxf>
      <numFmt numFmtId="165" formatCode="[$-F800]dddd\,\ mmmm\ dd\,\ yyyy"/>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1"/>
      <tableStyleElement type="headerRow"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[Day Agenda Planner.xltx]Sheet1!PivotTable1</c:name>
    <c:fmtId val="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Distribution of time for categories of items in Day Agenda</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pivotFmt>
      <c:pivotFmt>
        <c:idx val="10"/>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5"/>
      </c:pivotFmt>
      <c:pivotFmt>
        <c:idx val="16"/>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9"/>
        <c:spPr>
          <a:solidFill>
            <a:schemeClr val="accent1"/>
          </a:solidFill>
          <a:ln>
            <a:noFill/>
          </a:ln>
          <a:effectLst>
            <a:outerShdw blurRad="317500" algn="ctr" rotWithShape="0">
              <a:prstClr val="black">
                <a:alpha val="25000"/>
              </a:prst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Sheet1!$B$1</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56C-4351-A010-CB31B940CD6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56C-4351-A010-CB31B940CD6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4D66-4C43-ACF1-818E7F75496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D66-4C43-ACF1-818E7F75496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6E8-47BE-B632-D7CDE22AAF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Sheet1!$A$2:$A$7</c:f>
              <c:strCache>
                <c:ptCount val="5"/>
                <c:pt idx="0">
                  <c:v>Discussion</c:v>
                </c:pt>
                <c:pt idx="1">
                  <c:v>Review</c:v>
                </c:pt>
                <c:pt idx="2">
                  <c:v>Lecture</c:v>
                </c:pt>
                <c:pt idx="3">
                  <c:v>Quiz</c:v>
                </c:pt>
                <c:pt idx="4">
                  <c:v>Feedback</c:v>
                </c:pt>
              </c:strCache>
            </c:strRef>
          </c:cat>
          <c:val>
            <c:numRef>
              <c:f>Sheet1!$B$2:$B$7</c:f>
              <c:numCache>
                <c:formatCode>General</c:formatCode>
                <c:ptCount val="5"/>
                <c:pt idx="0">
                  <c:v>27</c:v>
                </c:pt>
                <c:pt idx="1">
                  <c:v>20</c:v>
                </c:pt>
                <c:pt idx="2">
                  <c:v>18</c:v>
                </c:pt>
                <c:pt idx="3">
                  <c:v>10</c:v>
                </c:pt>
                <c:pt idx="4">
                  <c:v>10</c:v>
                </c:pt>
              </c:numCache>
            </c:numRef>
          </c:val>
          <c:extLst>
            <c:ext xmlns:c16="http://schemas.microsoft.com/office/drawing/2014/chart" uri="{C3380CC4-5D6E-409C-BE32-E72D297353CC}">
              <c16:uniqueId val="{00000004-456C-4351-A010-CB31B940CD6E}"/>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Day Agenda'!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190501</xdr:colOff>
      <xdr:row>4</xdr:row>
      <xdr:rowOff>61661</xdr:rowOff>
    </xdr:from>
    <xdr:to>
      <xdr:col>8</xdr:col>
      <xdr:colOff>496094</xdr:colOff>
      <xdr:row>28</xdr:row>
      <xdr:rowOff>119063</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30078</xdr:colOff>
      <xdr:row>1</xdr:row>
      <xdr:rowOff>60159</xdr:rowOff>
    </xdr:from>
    <xdr:to>
      <xdr:col>1</xdr:col>
      <xdr:colOff>481262</xdr:colOff>
      <xdr:row>2</xdr:row>
      <xdr:rowOff>170448</xdr:rowOff>
    </xdr:to>
    <xdr:sp macro="" textlink="">
      <xdr:nvSpPr>
        <xdr:cNvPr id="2" name="Pentagon 1">
          <a:hlinkClick xmlns:r="http://schemas.openxmlformats.org/officeDocument/2006/relationships" r:id="rId2"/>
        </xdr:cNvPr>
        <xdr:cNvSpPr/>
      </xdr:nvSpPr>
      <xdr:spPr>
        <a:xfrm>
          <a:off x="30078" y="250659"/>
          <a:ext cx="1403684" cy="300789"/>
        </a:xfrm>
        <a:prstGeom prst="homePlat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a:t>See Day</a:t>
          </a:r>
          <a:r>
            <a:rPr lang="en-US" sz="1200" baseline="0"/>
            <a:t> Agenda</a:t>
          </a:r>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87474</xdr:colOff>
      <xdr:row>3</xdr:row>
      <xdr:rowOff>126354</xdr:rowOff>
    </xdr:from>
    <xdr:to>
      <xdr:col>4</xdr:col>
      <xdr:colOff>690077</xdr:colOff>
      <xdr:row>6</xdr:row>
      <xdr:rowOff>174949</xdr:rowOff>
    </xdr:to>
    <mc:AlternateContent xmlns:mc="http://schemas.openxmlformats.org/markup-compatibility/2006">
      <mc:Choice xmlns:sle15="http://schemas.microsoft.com/office/drawing/2012/slicer" Requires="sle15">
        <xdr:graphicFrame macro="">
          <xdr:nvGraphicFramePr>
            <xdr:cNvPr id="9" name="Module"/>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dr:sp macro="" textlink="">
          <xdr:nvSpPr>
            <xdr:cNvPr id="0" name=""/>
            <xdr:cNvSpPr>
              <a:spLocks noTextEdit="1"/>
            </xdr:cNvSpPr>
          </xdr:nvSpPr>
          <xdr:spPr>
            <a:xfrm>
              <a:off x="87474" y="728956"/>
              <a:ext cx="4422322" cy="6609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748394</xdr:colOff>
      <xdr:row>3</xdr:row>
      <xdr:rowOff>126353</xdr:rowOff>
    </xdr:from>
    <xdr:to>
      <xdr:col>7</xdr:col>
      <xdr:colOff>0</xdr:colOff>
      <xdr:row>6</xdr:row>
      <xdr:rowOff>174947</xdr:rowOff>
    </xdr:to>
    <mc:AlternateContent xmlns:mc="http://schemas.openxmlformats.org/markup-compatibility/2006">
      <mc:Choice xmlns:sle15="http://schemas.microsoft.com/office/drawing/2012/slicer" Requires="sle15">
        <xdr:graphicFrame macro="">
          <xdr:nvGraphicFramePr>
            <xdr:cNvPr id="2"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568113" y="728955"/>
              <a:ext cx="3703086" cy="6609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70172</xdr:colOff>
      <xdr:row>3</xdr:row>
      <xdr:rowOff>133734</xdr:rowOff>
    </xdr:from>
    <xdr:to>
      <xdr:col>10</xdr:col>
      <xdr:colOff>9717</xdr:colOff>
      <xdr:row>6</xdr:row>
      <xdr:rowOff>174949</xdr:rowOff>
    </xdr:to>
    <mc:AlternateContent xmlns:mc="http://schemas.openxmlformats.org/markup-compatibility/2006">
      <mc:Choice xmlns:sle15="http://schemas.microsoft.com/office/drawing/2012/slicer" Requires="sle15">
        <xdr:graphicFrame macro="">
          <xdr:nvGraphicFramePr>
            <xdr:cNvPr id="3" name="Facilitator"/>
            <xdr:cNvGraphicFramePr/>
          </xdr:nvGraphicFramePr>
          <xdr:xfrm>
            <a:off x="0" y="0"/>
            <a:ext cx="0" cy="0"/>
          </xdr:xfrm>
          <a:graphic>
            <a:graphicData uri="http://schemas.microsoft.com/office/drawing/2010/slicer">
              <sle:slicer xmlns:sle="http://schemas.microsoft.com/office/drawing/2010/slicer" name="Facilitator"/>
            </a:graphicData>
          </a:graphic>
        </xdr:graphicFrame>
      </mc:Choice>
      <mc:Fallback>
        <xdr:sp macro="" textlink="">
          <xdr:nvSpPr>
            <xdr:cNvPr id="0" name=""/>
            <xdr:cNvSpPr>
              <a:spLocks noTextEdit="1"/>
            </xdr:cNvSpPr>
          </xdr:nvSpPr>
          <xdr:spPr>
            <a:xfrm>
              <a:off x="8341371" y="736336"/>
              <a:ext cx="3137224" cy="6535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1</xdr:row>
      <xdr:rowOff>68037</xdr:rowOff>
    </xdr:from>
    <xdr:to>
      <xdr:col>1</xdr:col>
      <xdr:colOff>1005189</xdr:colOff>
      <xdr:row>2</xdr:row>
      <xdr:rowOff>164719</xdr:rowOff>
    </xdr:to>
    <xdr:sp macro="" textlink="">
      <xdr:nvSpPr>
        <xdr:cNvPr id="5" name="Pentagon 4">
          <a:hlinkClick xmlns:r="http://schemas.openxmlformats.org/officeDocument/2006/relationships" r:id="rId1"/>
        </xdr:cNvPr>
        <xdr:cNvSpPr/>
      </xdr:nvSpPr>
      <xdr:spPr>
        <a:xfrm flipH="1">
          <a:off x="0" y="262425"/>
          <a:ext cx="1403684" cy="300789"/>
        </a:xfrm>
        <a:prstGeom prst="homePlat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a:t>See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ni" refreshedDate="43962.436513657405" createdVersion="6" refreshedVersion="6" minRefreshableVersion="3" recordCount="10">
  <cacheSource type="worksheet">
    <worksheetSource name="Table2"/>
  </cacheSource>
  <cacheFields count="10">
    <cacheField name="Day" numFmtId="1">
      <sharedItems containsSemiMixedTypes="0" containsString="0" containsNumber="1" containsInteger="1" minValue="1" maxValue="1"/>
    </cacheField>
    <cacheField name="Date" numFmtId="165">
      <sharedItems/>
    </cacheField>
    <cacheField name="Module" numFmtId="0">
      <sharedItems/>
    </cacheField>
    <cacheField name="Topics" numFmtId="0">
      <sharedItems containsBlank="1"/>
    </cacheField>
    <cacheField name="Category" numFmtId="0">
      <sharedItems containsBlank="1" count="9">
        <s v="Lecture"/>
        <s v="Discussion"/>
        <s v="Review"/>
        <s v="Quiz"/>
        <s v="Feedback"/>
        <m u="1"/>
        <s v="Teaching" u="1"/>
        <s v="Others" u="1"/>
        <s v="Introduction" u="1"/>
      </sharedItems>
    </cacheField>
    <cacheField name="Description" numFmtId="0">
      <sharedItems/>
    </cacheField>
    <cacheField name="Facilitator" numFmtId="0">
      <sharedItems/>
    </cacheField>
    <cacheField name="Duration(min)" numFmtId="0">
      <sharedItems containsSemiMixedTypes="0" containsString="0" containsNumber="1" containsInteger="1" minValue="0" maxValue="20"/>
    </cacheField>
    <cacheField name="Start" numFmtId="164">
      <sharedItems containsDate="1" containsMixedTypes="1" minDate="1899-12-30T09:30:00" maxDate="1899-12-30T10:45:00"/>
    </cacheField>
    <cacheField name="End" numFmtId="164">
      <sharedItems containsSemiMixedTypes="0" containsNonDate="0" containsDate="1" containsString="0" minDate="1899-12-30T09:30:00" maxDate="1899-12-30T10:5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
  <r>
    <n v="1"/>
    <s v="22/01/2020"/>
    <s v="Introduction"/>
    <m/>
    <x v="0"/>
    <s v="Do not alter any item on this row"/>
    <s v="Ikenna"/>
    <n v="0"/>
    <s v="Start"/>
    <d v="1899-12-30T09:30:00"/>
  </r>
  <r>
    <n v="1"/>
    <s v="22/01/2020"/>
    <s v="Introduction"/>
    <s v="Course overview"/>
    <x v="0"/>
    <s v="Summary of course structure and activities"/>
    <s v="Ikenna"/>
    <n v="3"/>
    <d v="1899-12-30T09:30:00"/>
    <d v="1899-12-30T09:33:00"/>
  </r>
  <r>
    <n v="1"/>
    <s v="22/01/2020"/>
    <s v="Module1"/>
    <s v="Why are you here?"/>
    <x v="1"/>
    <s v="Individual perspectives on the purpose of meeting"/>
    <s v="Ikenna"/>
    <n v="7"/>
    <d v="1899-12-30T09:33:00"/>
    <d v="1899-12-30T09:40:00"/>
  </r>
  <r>
    <n v="1"/>
    <s v="22/01/2020"/>
    <s v="Module1"/>
    <s v="The Problem"/>
    <x v="0"/>
    <s v="The problem statement and resulting challenges"/>
    <s v="Abu"/>
    <n v="5"/>
    <d v="1899-12-30T09:40:00"/>
    <d v="1899-12-30T09:45:00"/>
  </r>
  <r>
    <n v="1"/>
    <s v="22/01/2020"/>
    <s v="Module1"/>
    <s v="Your experience"/>
    <x v="2"/>
    <s v="Individual perspectives on the problem"/>
    <s v="Abu"/>
    <n v="10"/>
    <d v="1899-12-30T09:45:00"/>
    <d v="1899-12-30T09:55:00"/>
  </r>
  <r>
    <n v="1"/>
    <s v="22/01/2020"/>
    <s v="Module2"/>
    <s v="What did you do?"/>
    <x v="1"/>
    <s v="Discussion on individual approaches to solving problem"/>
    <s v="Abu"/>
    <n v="20"/>
    <d v="1899-12-30T09:55:00"/>
    <d v="1899-12-30T10:15:00"/>
  </r>
  <r>
    <n v="1"/>
    <s v="22/01/2020"/>
    <s v="Module3"/>
    <s v="Best practices"/>
    <x v="2"/>
    <s v="Sggested beest practices by all participants"/>
    <s v="Sola"/>
    <n v="10"/>
    <d v="1899-12-30T10:15:00"/>
    <d v="1899-12-30T10:25:00"/>
  </r>
  <r>
    <n v="1"/>
    <s v="22/01/2020"/>
    <s v="Module3"/>
    <s v="Summary"/>
    <x v="0"/>
    <s v="Summary of best practices"/>
    <s v="Sola"/>
    <n v="10"/>
    <d v="1899-12-30T10:25:00"/>
    <d v="1899-12-30T10:35:00"/>
  </r>
  <r>
    <n v="1"/>
    <s v="22/01/2020"/>
    <s v="Module3"/>
    <s v="Quiz"/>
    <x v="3"/>
    <s v="Quiz testing understanding of best practicesto be completed online"/>
    <s v="Sola"/>
    <n v="10"/>
    <d v="1899-12-30T10:35:00"/>
    <d v="1899-12-30T10:45:00"/>
  </r>
  <r>
    <n v="1"/>
    <s v="22/01/2020"/>
    <s v="Module3"/>
    <s v="Feedback"/>
    <x v="4"/>
    <s v="Feedback from participants to be completed online"/>
    <s v="Ikenna"/>
    <n v="10"/>
    <d v="1899-12-30T10:45:00"/>
    <d v="1899-12-30T10:5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1:B7" firstHeaderRow="1" firstDataRow="1" firstDataCol="1"/>
  <pivotFields count="10">
    <pivotField numFmtId="1" showAll="0"/>
    <pivotField showAll="0"/>
    <pivotField showAll="0"/>
    <pivotField showAll="0"/>
    <pivotField axis="axisRow" showAll="0" defaultSubtotal="0">
      <items count="9">
        <item x="1"/>
        <item m="1" x="7"/>
        <item x="2"/>
        <item m="1" x="6"/>
        <item m="1" x="5"/>
        <item m="1" x="8"/>
        <item x="0"/>
        <item x="3"/>
        <item x="4"/>
      </items>
    </pivotField>
    <pivotField showAll="0" defaultSubtotal="0"/>
    <pivotField showAll="0" defaultSubtotal="0"/>
    <pivotField dataField="1" showAll="0"/>
    <pivotField numFmtId="164" showAll="0"/>
    <pivotField numFmtId="164" showAll="0"/>
  </pivotFields>
  <rowFields count="1">
    <field x="4"/>
  </rowFields>
  <rowItems count="6">
    <i>
      <x/>
    </i>
    <i>
      <x v="2"/>
    </i>
    <i>
      <x v="6"/>
    </i>
    <i>
      <x v="7"/>
    </i>
    <i>
      <x v="8"/>
    </i>
    <i t="grand">
      <x/>
    </i>
  </rowItems>
  <colItems count="1">
    <i/>
  </colItems>
  <dataFields count="1">
    <dataField name="Sum of Duration(min)" fld="7" baseField="0" baseItem="0"/>
  </dataFields>
  <chartFormats count="6">
    <chartFormat chart="1" format="19" series="1">
      <pivotArea type="data" outline="0" fieldPosition="0">
        <references count="1">
          <reference field="4294967294" count="1" selected="0">
            <x v="0"/>
          </reference>
        </references>
      </pivotArea>
    </chartFormat>
    <chartFormat chart="1" format="20">
      <pivotArea type="data" outline="0" fieldPosition="0">
        <references count="2">
          <reference field="4294967294" count="1" selected="0">
            <x v="0"/>
          </reference>
          <reference field="4" count="1" selected="0">
            <x v="0"/>
          </reference>
        </references>
      </pivotArea>
    </chartFormat>
    <chartFormat chart="1" format="21">
      <pivotArea type="data" outline="0" fieldPosition="0">
        <references count="2">
          <reference field="4294967294" count="1" selected="0">
            <x v="0"/>
          </reference>
          <reference field="4" count="1" selected="0">
            <x v="2"/>
          </reference>
        </references>
      </pivotArea>
    </chartFormat>
    <chartFormat chart="1" format="22">
      <pivotArea type="data" outline="0" fieldPosition="0">
        <references count="2">
          <reference field="4294967294" count="1" selected="0">
            <x v="0"/>
          </reference>
          <reference field="4" count="1" selected="0">
            <x v="6"/>
          </reference>
        </references>
      </pivotArea>
    </chartFormat>
    <chartFormat chart="1" format="23">
      <pivotArea type="data" outline="0" fieldPosition="0">
        <references count="2">
          <reference field="4294967294" count="1" selected="0">
            <x v="0"/>
          </reference>
          <reference field="4" count="1" selected="0">
            <x v="7"/>
          </reference>
        </references>
      </pivotArea>
    </chartFormat>
    <chartFormat chart="1" format="24">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dule" sourceName="Module">
  <extLst>
    <x:ext xmlns:x15="http://schemas.microsoft.com/office/spreadsheetml/2010/11/main" uri="{2F2917AC-EB37-4324-AD4E-5DD8C200BD13}">
      <x15:tableSlicerCache tableId="2"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extLst>
    <x:ext xmlns:x15="http://schemas.microsoft.com/office/spreadsheetml/2010/11/main" uri="{2F2917AC-EB37-4324-AD4E-5DD8C200BD13}">
      <x15:tableSlicerCache tableId="2"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acilitator" sourceName="Facilitator">
  <extLst>
    <x:ext xmlns:x15="http://schemas.microsoft.com/office/spreadsheetml/2010/11/main" uri="{2F2917AC-EB37-4324-AD4E-5DD8C200BD13}">
      <x15:tableSlicerCache tableId="2"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dule" cache="Slicer_Module" caption="Modules" columnCount="6" style="SlicerStyleDark3" rowHeight="274320"/>
  <slicer name="Category" cache="Slicer_Category" caption="Categories" columnCount="5" style="SlicerStyleDark3" rowHeight="274320"/>
  <slicer name="Facilitator" cache="Slicer_Facilitator" caption="Facilitators" columnCount="4" style="SlicerStyleDark3" rowHeight="274320"/>
</slicers>
</file>

<file path=xl/tables/table1.xml><?xml version="1.0" encoding="utf-8"?>
<table xmlns="http://schemas.openxmlformats.org/spreadsheetml/2006/main" id="2" name="Table2" displayName="Table2" ref="A8:J18">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Day" totalsRowLabel="Total" dataDxfId="19" totalsRowDxfId="18">
      <calculatedColumnFormula>$I$3</calculatedColumnFormula>
    </tableColumn>
    <tableColumn id="8" name="Date" dataDxfId="17" totalsRowDxfId="16">
      <calculatedColumnFormula>$H$3</calculatedColumnFormula>
    </tableColumn>
    <tableColumn id="2" name="Module" dataDxfId="15" totalsRowDxfId="14"/>
    <tableColumn id="3" name="Topics" totalsRowFunction="count" dataDxfId="13" totalsRowDxfId="12"/>
    <tableColumn id="10" name="Category" dataDxfId="11" totalsRowDxfId="10"/>
    <tableColumn id="4" name="Description" dataDxfId="9" totalsRowDxfId="8"/>
    <tableColumn id="9" name="Facilitator" dataDxfId="7" totalsRowDxfId="6"/>
    <tableColumn id="5" name="Duration(min)" totalsRowFunction="sum" dataDxfId="5" totalsRowDxfId="4"/>
    <tableColumn id="6" name="Start" dataDxfId="3" totalsRowDxfId="2">
      <calculatedColumnFormula>Time!B1</calculatedColumnFormula>
    </tableColumn>
    <tableColumn id="7" name="End" dataDxfId="1" totalsRowDxfId="0">
      <calculatedColumnFormula>Time!B2</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K15"/>
  <sheetViews>
    <sheetView showGridLines="0" zoomScale="95" zoomScaleNormal="95" zoomScalePageLayoutView="68" workbookViewId="0">
      <pane ySplit="3" topLeftCell="A4" activePane="bottomLeft" state="frozen"/>
      <selection pane="bottomLeft" activeCell="J13" sqref="J13:J14"/>
    </sheetView>
  </sheetViews>
  <sheetFormatPr defaultRowHeight="15" x14ac:dyDescent="0.25"/>
  <cols>
    <col min="1" max="1" width="14.28515625" style="2" customWidth="1"/>
    <col min="2" max="2" width="16.7109375" style="2" customWidth="1"/>
    <col min="3" max="3" width="15.7109375" style="2" customWidth="1"/>
    <col min="4" max="4" width="14.5703125" style="2" customWidth="1"/>
    <col min="5" max="6" width="21.140625" style="2" customWidth="1"/>
    <col min="7" max="9" width="9.28515625" style="2" customWidth="1"/>
    <col min="10" max="10" width="21" style="2" customWidth="1"/>
    <col min="11" max="11" width="18.140625" style="2" customWidth="1"/>
    <col min="12" max="17" width="9.140625" style="2"/>
    <col min="18" max="18" width="9.140625" style="2" customWidth="1"/>
    <col min="19" max="16384" width="9.140625" style="2"/>
  </cols>
  <sheetData>
    <row r="1" spans="2:11" ht="15" customHeight="1" x14ac:dyDescent="0.25">
      <c r="B1" s="37" t="s">
        <v>26</v>
      </c>
      <c r="C1" s="37"/>
      <c r="D1" s="37"/>
      <c r="E1" s="37"/>
      <c r="F1" s="37"/>
      <c r="G1" s="37"/>
      <c r="H1" s="37"/>
      <c r="I1" s="37"/>
      <c r="J1" s="37"/>
      <c r="K1" s="37"/>
    </row>
    <row r="2" spans="2:11" ht="15" customHeight="1" x14ac:dyDescent="0.25">
      <c r="B2" s="37"/>
      <c r="C2" s="37"/>
      <c r="D2" s="37"/>
      <c r="E2" s="37"/>
      <c r="F2" s="37"/>
      <c r="G2" s="37"/>
      <c r="H2" s="37"/>
      <c r="I2" s="37"/>
      <c r="J2" s="37"/>
      <c r="K2" s="37"/>
    </row>
    <row r="3" spans="2:11" ht="15.75" customHeight="1" x14ac:dyDescent="0.25">
      <c r="B3" s="37"/>
      <c r="C3" s="37"/>
      <c r="D3" s="37"/>
      <c r="E3" s="37"/>
      <c r="F3" s="37"/>
      <c r="G3" s="37"/>
      <c r="H3" s="37"/>
      <c r="I3" s="37"/>
      <c r="J3" s="37"/>
      <c r="K3" s="37"/>
    </row>
    <row r="4" spans="2:11" ht="15" customHeight="1" x14ac:dyDescent="0.25">
      <c r="B4" s="37"/>
      <c r="C4" s="37"/>
      <c r="D4" s="37"/>
      <c r="E4" s="37"/>
      <c r="F4" s="37"/>
      <c r="G4" s="37"/>
      <c r="H4" s="37"/>
      <c r="I4" s="37"/>
      <c r="J4" s="37"/>
      <c r="K4" s="37"/>
    </row>
    <row r="5" spans="2:11" ht="15.75" thickBot="1" x14ac:dyDescent="0.3">
      <c r="E5" s="6"/>
      <c r="F5" s="6"/>
      <c r="J5" s="7"/>
      <c r="K5" s="7"/>
    </row>
    <row r="6" spans="2:11" s="1" customFormat="1" ht="15.75" thickBot="1" x14ac:dyDescent="0.3">
      <c r="J6" s="8" t="s">
        <v>25</v>
      </c>
      <c r="K6" s="9">
        <f>SUM(Table2[Duration(min)])/60</f>
        <v>1.4166666666666667</v>
      </c>
    </row>
    <row r="7" spans="2:11" ht="15.75" thickBot="1" x14ac:dyDescent="0.3">
      <c r="J7" s="10" t="s">
        <v>22</v>
      </c>
      <c r="K7" s="34">
        <f>'Day Agenda'!J3</f>
        <v>0.39583333333333331</v>
      </c>
    </row>
    <row r="8" spans="2:11" ht="16.5" customHeight="1" thickBot="1" x14ac:dyDescent="0.3">
      <c r="J8" s="10" t="s">
        <v>23</v>
      </c>
      <c r="K8" s="34">
        <f>MAX(Table2[End])</f>
        <v>0.4548611111111111</v>
      </c>
    </row>
    <row r="9" spans="2:11" x14ac:dyDescent="0.25">
      <c r="J9" s="11"/>
      <c r="K9"/>
    </row>
    <row r="10" spans="2:11" x14ac:dyDescent="0.25">
      <c r="J10"/>
      <c r="K10"/>
    </row>
    <row r="11" spans="2:11" x14ac:dyDescent="0.25">
      <c r="J11"/>
      <c r="K11"/>
    </row>
    <row r="12" spans="2:11" x14ac:dyDescent="0.25">
      <c r="J12"/>
      <c r="K12"/>
    </row>
    <row r="13" spans="2:11" x14ac:dyDescent="0.25">
      <c r="J13"/>
      <c r="K13"/>
    </row>
    <row r="14" spans="2:11" x14ac:dyDescent="0.25">
      <c r="J14"/>
      <c r="K14"/>
    </row>
    <row r="15" spans="2:11" x14ac:dyDescent="0.25">
      <c r="J15"/>
      <c r="K15"/>
    </row>
  </sheetData>
  <mergeCells count="1">
    <mergeCell ref="B1:K4"/>
  </mergeCells>
  <dataValidations disablePrompts="1" count="1">
    <dataValidation allowBlank="1" showInputMessage="1" showErrorMessage="1" promptTitle="Caution!" prompt="Do not modify" sqref="K6:K8"/>
  </dataValidations>
  <pageMargins left="0.7" right="0.3046875" top="0.75" bottom="0.75" header="0.3" footer="0.3"/>
  <pageSetup scale="75" fitToHeight="0" orientation="landscape" r:id="rId1"/>
  <headerFooter>
    <oddHeader xml:space="preserve">&amp;LThis tool was designed to help you plan a day agenda
</oddHeader>
    <oddFooter>&amp;L&amp;G
Created by Stephen Sani
for Glintool
https://glintool.com</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K15" activeCellId="1" sqref="A2 K15"/>
    </sheetView>
  </sheetViews>
  <sheetFormatPr defaultRowHeight="15" x14ac:dyDescent="0.25"/>
  <cols>
    <col min="1" max="1" width="13.140625" bestFit="1" customWidth="1"/>
    <col min="2" max="2" width="20.42578125" bestFit="1" customWidth="1"/>
  </cols>
  <sheetData>
    <row r="1" spans="1:2" x14ac:dyDescent="0.25">
      <c r="A1" s="28" t="s">
        <v>15</v>
      </c>
      <c r="B1" t="s">
        <v>11</v>
      </c>
    </row>
    <row r="2" spans="1:2" x14ac:dyDescent="0.25">
      <c r="A2" s="4" t="s">
        <v>13</v>
      </c>
      <c r="B2" s="27">
        <v>27</v>
      </c>
    </row>
    <row r="3" spans="1:2" x14ac:dyDescent="0.25">
      <c r="A3" s="4" t="s">
        <v>14</v>
      </c>
      <c r="B3" s="27">
        <v>20</v>
      </c>
    </row>
    <row r="4" spans="1:2" x14ac:dyDescent="0.25">
      <c r="A4" s="4" t="s">
        <v>32</v>
      </c>
      <c r="B4" s="27">
        <v>18</v>
      </c>
    </row>
    <row r="5" spans="1:2" x14ac:dyDescent="0.25">
      <c r="A5" s="4" t="s">
        <v>20</v>
      </c>
      <c r="B5" s="27">
        <v>10</v>
      </c>
    </row>
    <row r="6" spans="1:2" x14ac:dyDescent="0.25">
      <c r="A6" s="4" t="s">
        <v>34</v>
      </c>
      <c r="B6" s="27">
        <v>10</v>
      </c>
    </row>
    <row r="7" spans="1:2" x14ac:dyDescent="0.25">
      <c r="A7" s="4" t="s">
        <v>16</v>
      </c>
      <c r="B7" s="27">
        <v>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59"/>
  <sheetViews>
    <sheetView showGridLines="0" tabSelected="1" zoomScale="98" zoomScaleNormal="98" zoomScalePageLayoutView="51" workbookViewId="0">
      <pane ySplit="9" topLeftCell="A10" activePane="bottomLeft" state="frozen"/>
      <selection pane="bottomLeft" activeCell="K7" sqref="K7"/>
    </sheetView>
  </sheetViews>
  <sheetFormatPr defaultRowHeight="15" x14ac:dyDescent="0.25"/>
  <cols>
    <col min="1" max="1" width="6" style="25" bestFit="1" customWidth="1"/>
    <col min="2" max="2" width="23.28515625" style="24" bestFit="1" customWidth="1"/>
    <col min="3" max="3" width="12" style="4" bestFit="1" customWidth="1"/>
    <col min="4" max="4" width="16" style="4" bestFit="1" customWidth="1"/>
    <col min="5" max="5" width="15.42578125" style="4" bestFit="1" customWidth="1"/>
    <col min="6" max="6" width="35.28515625" style="21" customWidth="1"/>
    <col min="7" max="7" width="16" style="21" bestFit="1" customWidth="1"/>
    <col min="8" max="8" width="19" style="16" bestFit="1" customWidth="1"/>
    <col min="9" max="9" width="11.7109375" style="16" bestFit="1" customWidth="1"/>
    <col min="10" max="10" width="17.28515625" style="16" bestFit="1" customWidth="1"/>
    <col min="11" max="11" width="23.85546875" bestFit="1" customWidth="1"/>
    <col min="12" max="12" width="15.7109375" customWidth="1"/>
    <col min="13" max="13" width="47.140625" customWidth="1"/>
    <col min="16" max="16" width="9.5703125" customWidth="1"/>
  </cols>
  <sheetData>
    <row r="1" spans="1:10" s="2" customFormat="1" x14ac:dyDescent="0.25">
      <c r="A1" s="25"/>
      <c r="B1" s="24"/>
      <c r="C1" s="4"/>
      <c r="D1" s="4"/>
      <c r="E1" s="4"/>
      <c r="F1" s="21"/>
      <c r="G1" s="21"/>
      <c r="H1" s="16"/>
      <c r="I1" s="16"/>
      <c r="J1" s="16"/>
    </row>
    <row r="2" spans="1:10" ht="15.75" customHeight="1" x14ac:dyDescent="0.25">
      <c r="B2" s="37" t="s">
        <v>27</v>
      </c>
      <c r="C2" s="37"/>
      <c r="D2" s="37"/>
      <c r="E2" s="37"/>
      <c r="F2" s="37"/>
      <c r="G2" s="36"/>
      <c r="H2" s="29" t="s">
        <v>9</v>
      </c>
      <c r="I2" s="29" t="s">
        <v>1</v>
      </c>
      <c r="J2" s="29" t="s">
        <v>10</v>
      </c>
    </row>
    <row r="3" spans="1:10" ht="15.75" customHeight="1" x14ac:dyDescent="0.25">
      <c r="B3" s="37"/>
      <c r="C3" s="37"/>
      <c r="D3" s="37"/>
      <c r="E3" s="37"/>
      <c r="F3" s="37"/>
      <c r="G3" s="36"/>
      <c r="H3" s="31" t="s">
        <v>24</v>
      </c>
      <c r="I3" s="35">
        <v>1</v>
      </c>
      <c r="J3" s="30">
        <v>0.39583333333333331</v>
      </c>
    </row>
    <row r="4" spans="1:10" ht="15.75" customHeight="1" x14ac:dyDescent="0.25">
      <c r="C4" s="20"/>
      <c r="D4" s="20"/>
      <c r="E4" s="20"/>
      <c r="F4" s="20"/>
      <c r="G4" s="20"/>
    </row>
    <row r="5" spans="1:10" s="2" customFormat="1" ht="15.75" customHeight="1" x14ac:dyDescent="0.25">
      <c r="A5" s="25"/>
      <c r="B5" s="24"/>
      <c r="C5" s="20"/>
      <c r="D5" s="20"/>
      <c r="E5" s="20"/>
      <c r="F5" s="20"/>
      <c r="G5" s="20"/>
      <c r="H5" s="16"/>
      <c r="I5" s="16"/>
      <c r="J5" s="16"/>
    </row>
    <row r="6" spans="1:10" ht="15.75" customHeight="1" x14ac:dyDescent="0.25">
      <c r="C6" s="20"/>
      <c r="D6" s="20"/>
      <c r="E6" s="20"/>
      <c r="F6" s="20"/>
      <c r="G6" s="20"/>
    </row>
    <row r="7" spans="1:10" s="2" customFormat="1" ht="18.75" customHeight="1" x14ac:dyDescent="0.25">
      <c r="A7" s="25"/>
      <c r="B7" s="24"/>
      <c r="C7" s="4"/>
      <c r="D7" s="4"/>
      <c r="E7" s="4"/>
      <c r="F7" s="21"/>
      <c r="G7" s="21"/>
    </row>
    <row r="8" spans="1:10" ht="20.25" thickBot="1" x14ac:dyDescent="0.35">
      <c r="A8" s="26" t="s">
        <v>1</v>
      </c>
      <c r="B8" s="33" t="s">
        <v>9</v>
      </c>
      <c r="C8" s="22" t="s">
        <v>0</v>
      </c>
      <c r="D8" s="22" t="s">
        <v>2</v>
      </c>
      <c r="E8" s="22" t="s">
        <v>12</v>
      </c>
      <c r="F8" s="23" t="s">
        <v>41</v>
      </c>
      <c r="G8" s="23" t="s">
        <v>21</v>
      </c>
      <c r="H8" s="19" t="s">
        <v>8</v>
      </c>
      <c r="I8" s="17" t="s">
        <v>5</v>
      </c>
      <c r="J8" s="17" t="s">
        <v>6</v>
      </c>
    </row>
    <row r="9" spans="1:10" ht="14.25" hidden="1" customHeight="1" thickTop="1" x14ac:dyDescent="0.25">
      <c r="A9" s="25">
        <f t="shared" ref="A9:A18" si="0">$I$3</f>
        <v>1</v>
      </c>
      <c r="B9" s="32" t="str">
        <f t="shared" ref="B9:B18" si="1">$H$3</f>
        <v>22/01/2020</v>
      </c>
      <c r="C9" s="3" t="str">
        <f>$C$10</f>
        <v>Introduction</v>
      </c>
      <c r="D9" s="21"/>
      <c r="E9" s="21" t="str">
        <f>$E$10</f>
        <v>Lecture</v>
      </c>
      <c r="F9" s="21" t="s">
        <v>38</v>
      </c>
      <c r="G9" s="21" t="str">
        <f>$G$10</f>
        <v>Ikenna</v>
      </c>
      <c r="H9" s="16">
        <v>0</v>
      </c>
      <c r="I9" s="18" t="str">
        <f>Time!B1</f>
        <v>Start</v>
      </c>
      <c r="J9" s="18">
        <f>Time!B2</f>
        <v>0.39583333333333331</v>
      </c>
    </row>
    <row r="10" spans="1:10" ht="30.75" thickTop="1" x14ac:dyDescent="0.25">
      <c r="A10" s="25">
        <f t="shared" si="0"/>
        <v>1</v>
      </c>
      <c r="B10" s="32" t="str">
        <f t="shared" si="1"/>
        <v>22/01/2020</v>
      </c>
      <c r="C10" s="3" t="s">
        <v>7</v>
      </c>
      <c r="D10" s="21" t="s">
        <v>4</v>
      </c>
      <c r="E10" s="21" t="s">
        <v>32</v>
      </c>
      <c r="F10" s="21" t="s">
        <v>39</v>
      </c>
      <c r="G10" s="21" t="s">
        <v>35</v>
      </c>
      <c r="H10" s="16">
        <v>3</v>
      </c>
      <c r="I10" s="18">
        <f>Time!B2</f>
        <v>0.39583333333333331</v>
      </c>
      <c r="J10" s="18">
        <f>Time!B3</f>
        <v>0.3979166666666667</v>
      </c>
    </row>
    <row r="11" spans="1:10" ht="30" x14ac:dyDescent="0.25">
      <c r="A11" s="25">
        <f t="shared" si="0"/>
        <v>1</v>
      </c>
      <c r="B11" s="32" t="str">
        <f t="shared" si="1"/>
        <v>22/01/2020</v>
      </c>
      <c r="C11" s="21" t="s">
        <v>17</v>
      </c>
      <c r="D11" s="21" t="s">
        <v>40</v>
      </c>
      <c r="E11" s="21" t="s">
        <v>13</v>
      </c>
      <c r="F11" s="21" t="s">
        <v>49</v>
      </c>
      <c r="G11" s="21" t="s">
        <v>35</v>
      </c>
      <c r="H11" s="16">
        <v>7</v>
      </c>
      <c r="I11" s="18">
        <f>Time!B3</f>
        <v>0.3979166666666667</v>
      </c>
      <c r="J11" s="18">
        <f>Time!B4</f>
        <v>0.40277777777777773</v>
      </c>
    </row>
    <row r="12" spans="1:10" ht="30" x14ac:dyDescent="0.25">
      <c r="A12" s="25">
        <f t="shared" si="0"/>
        <v>1</v>
      </c>
      <c r="B12" s="32" t="str">
        <f t="shared" si="1"/>
        <v>22/01/2020</v>
      </c>
      <c r="C12" s="5" t="s">
        <v>17</v>
      </c>
      <c r="D12" s="21" t="s">
        <v>28</v>
      </c>
      <c r="E12" s="21" t="s">
        <v>32</v>
      </c>
      <c r="F12" s="21" t="s">
        <v>48</v>
      </c>
      <c r="G12" s="21" t="s">
        <v>36</v>
      </c>
      <c r="H12" s="16">
        <v>5</v>
      </c>
      <c r="I12" s="18">
        <f>Time!B4</f>
        <v>0.40277777777777773</v>
      </c>
      <c r="J12" s="18">
        <f>Time!B5</f>
        <v>0.40625</v>
      </c>
    </row>
    <row r="13" spans="1:10" s="2" customFormat="1" ht="30" x14ac:dyDescent="0.25">
      <c r="A13" s="25">
        <f t="shared" si="0"/>
        <v>1</v>
      </c>
      <c r="B13" s="32" t="str">
        <f t="shared" si="1"/>
        <v>22/01/2020</v>
      </c>
      <c r="C13" s="5" t="s">
        <v>17</v>
      </c>
      <c r="D13" s="21" t="s">
        <v>29</v>
      </c>
      <c r="E13" s="21" t="s">
        <v>14</v>
      </c>
      <c r="F13" s="21" t="s">
        <v>47</v>
      </c>
      <c r="G13" s="21" t="s">
        <v>36</v>
      </c>
      <c r="H13" s="16">
        <v>10</v>
      </c>
      <c r="I13" s="18">
        <f>Time!B5</f>
        <v>0.40625</v>
      </c>
      <c r="J13" s="18">
        <f>Time!B6</f>
        <v>0.41319444444444442</v>
      </c>
    </row>
    <row r="14" spans="1:10" ht="30" x14ac:dyDescent="0.25">
      <c r="A14" s="25">
        <f t="shared" si="0"/>
        <v>1</v>
      </c>
      <c r="B14" s="32" t="str">
        <f t="shared" si="1"/>
        <v>22/01/2020</v>
      </c>
      <c r="C14" s="5" t="s">
        <v>18</v>
      </c>
      <c r="D14" s="21" t="s">
        <v>30</v>
      </c>
      <c r="E14" s="21" t="s">
        <v>13</v>
      </c>
      <c r="F14" s="21" t="s">
        <v>46</v>
      </c>
      <c r="G14" s="21" t="s">
        <v>36</v>
      </c>
      <c r="H14" s="16">
        <v>20</v>
      </c>
      <c r="I14" s="18">
        <f>Time!B6</f>
        <v>0.41319444444444442</v>
      </c>
      <c r="J14" s="18">
        <f>Time!B7</f>
        <v>0.42708333333333331</v>
      </c>
    </row>
    <row r="15" spans="1:10" ht="15" customHeight="1" x14ac:dyDescent="0.25">
      <c r="A15" s="25">
        <f t="shared" si="0"/>
        <v>1</v>
      </c>
      <c r="B15" s="32" t="str">
        <f t="shared" si="1"/>
        <v>22/01/2020</v>
      </c>
      <c r="C15" s="5" t="s">
        <v>19</v>
      </c>
      <c r="D15" s="21" t="s">
        <v>31</v>
      </c>
      <c r="E15" s="21" t="s">
        <v>14</v>
      </c>
      <c r="F15" s="21" t="s">
        <v>45</v>
      </c>
      <c r="G15" s="21" t="s">
        <v>37</v>
      </c>
      <c r="H15" s="16">
        <v>10</v>
      </c>
      <c r="I15" s="18">
        <f>Time!B7</f>
        <v>0.42708333333333331</v>
      </c>
      <c r="J15" s="18">
        <f>Time!B8</f>
        <v>0.43402777777777773</v>
      </c>
    </row>
    <row r="16" spans="1:10" x14ac:dyDescent="0.25">
      <c r="A16" s="25">
        <f t="shared" si="0"/>
        <v>1</v>
      </c>
      <c r="B16" s="32" t="str">
        <f t="shared" si="1"/>
        <v>22/01/2020</v>
      </c>
      <c r="C16" s="5" t="s">
        <v>19</v>
      </c>
      <c r="D16" s="21" t="s">
        <v>33</v>
      </c>
      <c r="E16" s="21" t="s">
        <v>32</v>
      </c>
      <c r="F16" s="21" t="s">
        <v>44</v>
      </c>
      <c r="G16" s="21" t="s">
        <v>37</v>
      </c>
      <c r="H16" s="16">
        <v>10</v>
      </c>
      <c r="I16" s="18">
        <f>Time!B8</f>
        <v>0.43402777777777773</v>
      </c>
      <c r="J16" s="18">
        <f>Time!B9</f>
        <v>0.44097222222222227</v>
      </c>
    </row>
    <row r="17" spans="1:11" ht="30" x14ac:dyDescent="0.25">
      <c r="A17" s="25">
        <f t="shared" si="0"/>
        <v>1</v>
      </c>
      <c r="B17" s="32" t="str">
        <f t="shared" si="1"/>
        <v>22/01/2020</v>
      </c>
      <c r="C17" s="5" t="s">
        <v>19</v>
      </c>
      <c r="D17" s="21" t="s">
        <v>20</v>
      </c>
      <c r="E17" s="21" t="s">
        <v>20</v>
      </c>
      <c r="F17" s="21" t="s">
        <v>43</v>
      </c>
      <c r="G17" s="21" t="s">
        <v>37</v>
      </c>
      <c r="H17" s="16">
        <v>10</v>
      </c>
      <c r="I17" s="18">
        <f>Time!B9</f>
        <v>0.44097222222222227</v>
      </c>
      <c r="J17" s="18">
        <f>Time!B10</f>
        <v>0.44791666666666669</v>
      </c>
    </row>
    <row r="18" spans="1:11" ht="30" x14ac:dyDescent="0.25">
      <c r="A18" s="25">
        <f t="shared" si="0"/>
        <v>1</v>
      </c>
      <c r="B18" s="32" t="str">
        <f t="shared" si="1"/>
        <v>22/01/2020</v>
      </c>
      <c r="C18" s="5" t="s">
        <v>19</v>
      </c>
      <c r="D18" s="21" t="s">
        <v>34</v>
      </c>
      <c r="E18" s="21" t="s">
        <v>34</v>
      </c>
      <c r="F18" s="21" t="s">
        <v>42</v>
      </c>
      <c r="G18" s="21" t="s">
        <v>35</v>
      </c>
      <c r="H18" s="16">
        <v>10</v>
      </c>
      <c r="I18" s="18">
        <f>Time!B10</f>
        <v>0.44791666666666669</v>
      </c>
      <c r="J18" s="18">
        <f>Time!B11</f>
        <v>0.4548611111111111</v>
      </c>
    </row>
    <row r="24" spans="1:11" ht="60" customHeight="1" x14ac:dyDescent="0.25"/>
    <row r="26" spans="1:11" x14ac:dyDescent="0.25">
      <c r="K26" s="1"/>
    </row>
    <row r="58" spans="1:13" ht="15" customHeight="1" x14ac:dyDescent="0.25"/>
    <row r="59" spans="1:13" s="2" customFormat="1" x14ac:dyDescent="0.25">
      <c r="A59" s="25"/>
      <c r="B59" s="24"/>
      <c r="C59" s="4"/>
      <c r="D59" s="4"/>
      <c r="E59" s="4"/>
      <c r="F59" s="21"/>
      <c r="G59" s="21"/>
      <c r="H59" s="16"/>
      <c r="I59" s="16"/>
      <c r="J59" s="16"/>
      <c r="M59"/>
    </row>
  </sheetData>
  <mergeCells count="1">
    <mergeCell ref="B2:F3"/>
  </mergeCells>
  <dataValidations count="3">
    <dataValidation allowBlank="1" showInputMessage="1" showErrorMessage="1" promptTitle="Caution!" prompt="Do not modify" sqref="I9:J18"/>
    <dataValidation allowBlank="1" showInputMessage="1" showErrorMessage="1" promptTitle="Caution!" prompt="Do not modify this cell" sqref="H9"/>
    <dataValidation allowBlank="1" showInputMessage="1" showErrorMessage="1" promptTitle="Caution" prompt="Do not modify" sqref="A9:B18"/>
  </dataValidations>
  <pageMargins left="0.7" right="0.7" top="0.75" bottom="0.75" header="0.3" footer="0.3"/>
  <pageSetup scale="71" fitToHeight="0" orientation="landscape" r:id="rId1"/>
  <headerFooter>
    <oddHeader>&amp;LThis tool was designed to help you plan a day agenda</oddHeader>
    <oddFooter>&amp;L&amp;G
Created by Stephen Sani
for Glintool
https://glintool.com</oddFooter>
  </headerFooter>
  <drawing r:id="rId2"/>
  <legacyDrawingHF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0"/>
  <sheetViews>
    <sheetView workbookViewId="0">
      <selection activeCell="E15" sqref="E15"/>
    </sheetView>
  </sheetViews>
  <sheetFormatPr defaultRowHeight="15" x14ac:dyDescent="0.25"/>
  <cols>
    <col min="2" max="2" width="11.5703125" bestFit="1" customWidth="1"/>
    <col min="6" max="6" width="10.5703125" bestFit="1" customWidth="1"/>
  </cols>
  <sheetData>
    <row r="1" spans="1:6" ht="20.25" thickBot="1" x14ac:dyDescent="0.35">
      <c r="A1" t="s">
        <v>3</v>
      </c>
      <c r="B1" s="12" t="s">
        <v>5</v>
      </c>
    </row>
    <row r="2" spans="1:6" s="2" customFormat="1" ht="15.75" thickTop="1" x14ac:dyDescent="0.25">
      <c r="A2" s="2">
        <f>'Day Agenda'!H9</f>
        <v>0</v>
      </c>
      <c r="B2" s="14">
        <f>TIME(HOUR($F$2),SUM(MINUTE($F$2),$A$2:$A2),0)</f>
        <v>0.39583333333333331</v>
      </c>
      <c r="F2" s="13">
        <f>'Day Agenda'!J3</f>
        <v>0.39583333333333331</v>
      </c>
    </row>
    <row r="3" spans="1:6" x14ac:dyDescent="0.25">
      <c r="A3" s="2">
        <f>'Day Agenda'!H10</f>
        <v>3</v>
      </c>
      <c r="B3" s="14">
        <f>TIME(HOUR($F$2),SUM(MINUTE($F$2),$A$2:$A3),0)</f>
        <v>0.3979166666666667</v>
      </c>
    </row>
    <row r="4" spans="1:6" x14ac:dyDescent="0.25">
      <c r="A4" s="2">
        <f>'Day Agenda'!H11</f>
        <v>7</v>
      </c>
      <c r="B4" s="14">
        <f>TIME(HOUR($F$2),SUM(MINUTE($F$2),$A$2:$A4),0)</f>
        <v>0.40277777777777773</v>
      </c>
    </row>
    <row r="5" spans="1:6" x14ac:dyDescent="0.25">
      <c r="A5" s="2">
        <f>'Day Agenda'!H12</f>
        <v>5</v>
      </c>
      <c r="B5" s="14">
        <f>TIME(HOUR($F$2),SUM(MINUTE($F$2),$A$2:$A5),0)</f>
        <v>0.40625</v>
      </c>
    </row>
    <row r="6" spans="1:6" x14ac:dyDescent="0.25">
      <c r="A6" s="2">
        <f>'Day Agenda'!H13</f>
        <v>10</v>
      </c>
      <c r="B6" s="14">
        <f>TIME(HOUR($F$2),SUM(MINUTE($F$2),$A$2:$A6),0)</f>
        <v>0.41319444444444442</v>
      </c>
    </row>
    <row r="7" spans="1:6" x14ac:dyDescent="0.25">
      <c r="A7" s="2">
        <f>'Day Agenda'!H14</f>
        <v>20</v>
      </c>
      <c r="B7" s="14">
        <f>TIME(HOUR($F$2),SUM(MINUTE($F$2),$A$2:$A7),0)</f>
        <v>0.42708333333333331</v>
      </c>
    </row>
    <row r="8" spans="1:6" x14ac:dyDescent="0.25">
      <c r="A8" s="2">
        <f>'Day Agenda'!H15</f>
        <v>10</v>
      </c>
      <c r="B8" s="14">
        <f>TIME(HOUR($F$2),SUM(MINUTE($F$2),$A$2:$A8),0)</f>
        <v>0.43402777777777773</v>
      </c>
    </row>
    <row r="9" spans="1:6" x14ac:dyDescent="0.25">
      <c r="A9" s="2">
        <f>'Day Agenda'!H16</f>
        <v>10</v>
      </c>
      <c r="B9" s="14">
        <f>TIME(HOUR($F$2),SUM(MINUTE($F$2),$A$2:$A9),0)</f>
        <v>0.44097222222222227</v>
      </c>
    </row>
    <row r="10" spans="1:6" x14ac:dyDescent="0.25">
      <c r="A10" s="2">
        <f>'Day Agenda'!H17</f>
        <v>10</v>
      </c>
      <c r="B10" s="14">
        <f>TIME(HOUR($F$2),SUM(MINUTE($F$2),$A$2:$A10),0)</f>
        <v>0.44791666666666669</v>
      </c>
    </row>
    <row r="11" spans="1:6" x14ac:dyDescent="0.25">
      <c r="A11" s="2">
        <f>'Day Agenda'!H18</f>
        <v>10</v>
      </c>
      <c r="B11" s="14">
        <f>TIME(HOUR($F$2),SUM(MINUTE($F$2),$A$2:$A11),0)</f>
        <v>0.4548611111111111</v>
      </c>
    </row>
    <row r="12" spans="1:6" x14ac:dyDescent="0.25">
      <c r="A12" s="2">
        <f>'Day Agenda'!H19</f>
        <v>0</v>
      </c>
      <c r="B12" s="14">
        <f>TIME(HOUR($F$2),SUM(MINUTE($F$2),$A$2:$A12),0)</f>
        <v>0.4548611111111111</v>
      </c>
    </row>
    <row r="13" spans="1:6" x14ac:dyDescent="0.25">
      <c r="A13" s="2">
        <f>'Day Agenda'!H20</f>
        <v>0</v>
      </c>
      <c r="B13" s="14">
        <f>TIME(HOUR($F$2),SUM(MINUTE($F$2),$A$2:$A13),0)</f>
        <v>0.4548611111111111</v>
      </c>
    </row>
    <row r="14" spans="1:6" x14ac:dyDescent="0.25">
      <c r="A14" s="2">
        <f>'Day Agenda'!H21</f>
        <v>0</v>
      </c>
      <c r="B14" s="14">
        <f>TIME(HOUR($F$2),SUM(MINUTE($F$2),$A$2:$A14),0)</f>
        <v>0.4548611111111111</v>
      </c>
    </row>
    <row r="15" spans="1:6" x14ac:dyDescent="0.25">
      <c r="A15" s="2">
        <f>'Day Agenda'!H22</f>
        <v>0</v>
      </c>
      <c r="B15" s="14">
        <f>TIME(HOUR($F$2),SUM(MINUTE($F$2),$A$2:$A15),0)</f>
        <v>0.4548611111111111</v>
      </c>
    </row>
    <row r="16" spans="1:6" x14ac:dyDescent="0.25">
      <c r="A16" s="2">
        <f>'Day Agenda'!H23</f>
        <v>0</v>
      </c>
      <c r="B16" s="14">
        <f>TIME(HOUR($F$2),SUM(MINUTE($F$2),$A$2:$A16),0)</f>
        <v>0.4548611111111111</v>
      </c>
    </row>
    <row r="17" spans="1:2" x14ac:dyDescent="0.25">
      <c r="A17" s="2">
        <f>'Day Agenda'!H24</f>
        <v>0</v>
      </c>
      <c r="B17" s="14">
        <f>TIME(HOUR($F$2),SUM(MINUTE($F$2),$A$2:$A17),0)</f>
        <v>0.4548611111111111</v>
      </c>
    </row>
    <row r="18" spans="1:2" x14ac:dyDescent="0.25">
      <c r="A18" s="2">
        <f>'Day Agenda'!H25</f>
        <v>0</v>
      </c>
      <c r="B18" s="14">
        <f>TIME(HOUR($F$2),SUM(MINUTE($F$2),$A$2:$A18),0)</f>
        <v>0.4548611111111111</v>
      </c>
    </row>
    <row r="19" spans="1:2" x14ac:dyDescent="0.25">
      <c r="A19" s="2">
        <f>'Day Agenda'!H26</f>
        <v>0</v>
      </c>
      <c r="B19" s="14">
        <f>TIME(HOUR($F$2),SUM(MINUTE($F$2),$A$2:$A19),0)</f>
        <v>0.4548611111111111</v>
      </c>
    </row>
    <row r="20" spans="1:2" x14ac:dyDescent="0.25">
      <c r="A20" s="2">
        <f>'Day Agenda'!H27</f>
        <v>0</v>
      </c>
      <c r="B20" s="14">
        <f>TIME(HOUR($F$2),SUM(MINUTE($F$2),$A$2:$A20),0)</f>
        <v>0.4548611111111111</v>
      </c>
    </row>
    <row r="21" spans="1:2" x14ac:dyDescent="0.25">
      <c r="A21" s="2">
        <f>'Day Agenda'!H28</f>
        <v>0</v>
      </c>
      <c r="B21" s="14">
        <f>TIME(HOUR($F$2),SUM(MINUTE($F$2),$A$2:$A21),0)</f>
        <v>0.4548611111111111</v>
      </c>
    </row>
    <row r="22" spans="1:2" x14ac:dyDescent="0.25">
      <c r="A22" s="2">
        <f>'Day Agenda'!H29</f>
        <v>0</v>
      </c>
      <c r="B22" s="14">
        <f>TIME(HOUR($F$2),SUM(MINUTE($F$2),$A$2:$A22),0)</f>
        <v>0.4548611111111111</v>
      </c>
    </row>
    <row r="23" spans="1:2" x14ac:dyDescent="0.25">
      <c r="A23" s="2">
        <f>'Day Agenda'!H30</f>
        <v>0</v>
      </c>
      <c r="B23" s="14">
        <f>TIME(HOUR($F$2),SUM(MINUTE($F$2),$A$2:$A23),0)</f>
        <v>0.4548611111111111</v>
      </c>
    </row>
    <row r="24" spans="1:2" x14ac:dyDescent="0.25">
      <c r="A24" s="2">
        <f>'Day Agenda'!H31</f>
        <v>0</v>
      </c>
      <c r="B24" s="14">
        <f>TIME(HOUR($F$2),SUM(MINUTE($F$2),$A$2:$A24),0)</f>
        <v>0.4548611111111111</v>
      </c>
    </row>
    <row r="25" spans="1:2" x14ac:dyDescent="0.25">
      <c r="A25" s="2">
        <f>'Day Agenda'!H32</f>
        <v>0</v>
      </c>
      <c r="B25" s="14">
        <f>TIME(HOUR($F$2),SUM(MINUTE($F$2),$A$2:$A25),0)</f>
        <v>0.4548611111111111</v>
      </c>
    </row>
    <row r="26" spans="1:2" x14ac:dyDescent="0.25">
      <c r="A26" s="2">
        <f>'Day Agenda'!H33</f>
        <v>0</v>
      </c>
      <c r="B26" s="14">
        <f>TIME(HOUR($F$2),SUM(MINUTE($F$2),$A$2:$A26),0)</f>
        <v>0.4548611111111111</v>
      </c>
    </row>
    <row r="27" spans="1:2" x14ac:dyDescent="0.25">
      <c r="A27" s="2">
        <f>'Day Agenda'!H34</f>
        <v>0</v>
      </c>
      <c r="B27" s="14">
        <f>TIME(HOUR($F$2),SUM(MINUTE($F$2),$A$2:$A27),0)</f>
        <v>0.4548611111111111</v>
      </c>
    </row>
    <row r="28" spans="1:2" x14ac:dyDescent="0.25">
      <c r="A28" s="2">
        <f>'Day Agenda'!H35</f>
        <v>0</v>
      </c>
      <c r="B28" s="14">
        <f>TIME(HOUR($F$2),SUM(MINUTE($F$2),$A$2:$A28),0)</f>
        <v>0.4548611111111111</v>
      </c>
    </row>
    <row r="29" spans="1:2" x14ac:dyDescent="0.25">
      <c r="A29" s="2">
        <f>'Day Agenda'!H36</f>
        <v>0</v>
      </c>
      <c r="B29" s="14">
        <f>TIME(HOUR($F$2),SUM(MINUTE($F$2),$A$2:$A29),0)</f>
        <v>0.4548611111111111</v>
      </c>
    </row>
    <row r="30" spans="1:2" x14ac:dyDescent="0.25">
      <c r="A30" s="2">
        <f>'Day Agenda'!H37</f>
        <v>0</v>
      </c>
      <c r="B30" s="14">
        <f>TIME(HOUR($F$2),SUM(MINUTE($F$2),$A$2:$A30),0)</f>
        <v>0.4548611111111111</v>
      </c>
    </row>
    <row r="31" spans="1:2" x14ac:dyDescent="0.25">
      <c r="A31" s="2">
        <f>'Day Agenda'!H38</f>
        <v>0</v>
      </c>
      <c r="B31" s="14">
        <f>TIME(HOUR($F$2),SUM(MINUTE($F$2),$A$2:$A31),0)</f>
        <v>0.4548611111111111</v>
      </c>
    </row>
    <row r="32" spans="1:2" x14ac:dyDescent="0.25">
      <c r="A32" s="2">
        <f>'Day Agenda'!H39</f>
        <v>0</v>
      </c>
      <c r="B32" s="14">
        <f>TIME(HOUR($F$2),SUM(MINUTE($F$2),$A$2:$A32),0)</f>
        <v>0.4548611111111111</v>
      </c>
    </row>
    <row r="33" spans="1:2" x14ac:dyDescent="0.25">
      <c r="A33" s="2">
        <f>'Day Agenda'!H40</f>
        <v>0</v>
      </c>
      <c r="B33" s="14">
        <f>TIME(HOUR($F$2),SUM(MINUTE($F$2),$A$2:$A33),0)</f>
        <v>0.4548611111111111</v>
      </c>
    </row>
    <row r="34" spans="1:2" x14ac:dyDescent="0.25">
      <c r="A34" s="2">
        <f>'Day Agenda'!H41</f>
        <v>0</v>
      </c>
      <c r="B34" s="14">
        <f>TIME(HOUR($F$2),SUM(MINUTE($F$2),$A$2:$A34),0)</f>
        <v>0.4548611111111111</v>
      </c>
    </row>
    <row r="35" spans="1:2" x14ac:dyDescent="0.25">
      <c r="A35" s="2">
        <f>'Day Agenda'!H42</f>
        <v>0</v>
      </c>
      <c r="B35" s="14">
        <f>TIME(HOUR($F$2),SUM(MINUTE($F$2),$A$2:$A35),0)</f>
        <v>0.4548611111111111</v>
      </c>
    </row>
    <row r="36" spans="1:2" x14ac:dyDescent="0.25">
      <c r="A36" s="2">
        <f>'Day Agenda'!H43</f>
        <v>0</v>
      </c>
      <c r="B36" s="14">
        <f>TIME(HOUR($F$2),SUM(MINUTE($F$2),$A$2:$A36),0)</f>
        <v>0.4548611111111111</v>
      </c>
    </row>
    <row r="37" spans="1:2" x14ac:dyDescent="0.25">
      <c r="A37" s="2">
        <f>'Day Agenda'!H44</f>
        <v>0</v>
      </c>
      <c r="B37" s="14">
        <f>TIME(HOUR($F$2),SUM(MINUTE($F$2),$A$2:$A37),0)</f>
        <v>0.4548611111111111</v>
      </c>
    </row>
    <row r="38" spans="1:2" x14ac:dyDescent="0.25">
      <c r="A38" s="2">
        <f>'Day Agenda'!H45</f>
        <v>0</v>
      </c>
      <c r="B38" s="14">
        <f>TIME(HOUR($F$2),SUM(MINUTE($F$2),$A$2:$A38),0)</f>
        <v>0.4548611111111111</v>
      </c>
    </row>
    <row r="39" spans="1:2" x14ac:dyDescent="0.25">
      <c r="A39" s="2">
        <f>'Day Agenda'!H46</f>
        <v>0</v>
      </c>
      <c r="B39" s="14">
        <f>TIME(HOUR($F$2),SUM(MINUTE($F$2),$A$2:$A39),0)</f>
        <v>0.4548611111111111</v>
      </c>
    </row>
    <row r="40" spans="1:2" x14ac:dyDescent="0.25">
      <c r="A40" s="2">
        <f>'Day Agenda'!H47</f>
        <v>0</v>
      </c>
      <c r="B40" s="14">
        <f>TIME(HOUR($F$2),SUM(MINUTE($F$2),$A$2:$A40),0)</f>
        <v>0.4548611111111111</v>
      </c>
    </row>
    <row r="41" spans="1:2" x14ac:dyDescent="0.25">
      <c r="A41" s="2">
        <f>'Day Agenda'!H48</f>
        <v>0</v>
      </c>
      <c r="B41" s="14">
        <f>TIME(HOUR($F$2),SUM(MINUTE($F$2),$A$2:$A41),0)</f>
        <v>0.4548611111111111</v>
      </c>
    </row>
    <row r="42" spans="1:2" x14ac:dyDescent="0.25">
      <c r="A42" s="2">
        <f>'Day Agenda'!H49</f>
        <v>0</v>
      </c>
      <c r="B42" s="14">
        <f>TIME(HOUR($F$2),SUM(MINUTE($F$2),$A$2:$A42),0)</f>
        <v>0.4548611111111111</v>
      </c>
    </row>
    <row r="43" spans="1:2" x14ac:dyDescent="0.25">
      <c r="A43" s="2">
        <f>'Day Agenda'!H50</f>
        <v>0</v>
      </c>
      <c r="B43" s="14">
        <f>TIME(HOUR($F$2),SUM(MINUTE($F$2),$A$2:$A43),0)</f>
        <v>0.4548611111111111</v>
      </c>
    </row>
    <row r="44" spans="1:2" x14ac:dyDescent="0.25">
      <c r="A44" s="2">
        <f>'Day Agenda'!H51</f>
        <v>0</v>
      </c>
      <c r="B44" s="14">
        <f>TIME(HOUR($F$2),SUM(MINUTE($F$2),$A$2:$A44),0)</f>
        <v>0.4548611111111111</v>
      </c>
    </row>
    <row r="45" spans="1:2" x14ac:dyDescent="0.25">
      <c r="A45" s="2">
        <f>'Day Agenda'!H52</f>
        <v>0</v>
      </c>
      <c r="B45" s="14">
        <f>TIME(HOUR($F$2),SUM(MINUTE($F$2),$A$2:$A45),0)</f>
        <v>0.4548611111111111</v>
      </c>
    </row>
    <row r="46" spans="1:2" x14ac:dyDescent="0.25">
      <c r="A46" s="2">
        <f>'Day Agenda'!H53</f>
        <v>0</v>
      </c>
      <c r="B46" s="14">
        <f>TIME(HOUR($F$2),SUM(MINUTE($F$2),$A$2:$A46),0)</f>
        <v>0.4548611111111111</v>
      </c>
    </row>
    <row r="47" spans="1:2" x14ac:dyDescent="0.25">
      <c r="A47" s="2">
        <f>'Day Agenda'!H54</f>
        <v>0</v>
      </c>
      <c r="B47" s="14">
        <f>TIME(HOUR($F$2),SUM(MINUTE($F$2),$A$2:$A47),0)</f>
        <v>0.4548611111111111</v>
      </c>
    </row>
    <row r="48" spans="1:2" x14ac:dyDescent="0.25">
      <c r="A48" s="2">
        <f>'Day Agenda'!H55</f>
        <v>0</v>
      </c>
      <c r="B48" s="14">
        <f>TIME(HOUR($F$2),SUM(MINUTE($F$2),$A$2:$A48),0)</f>
        <v>0.4548611111111111</v>
      </c>
    </row>
    <row r="49" spans="1:2" x14ac:dyDescent="0.25">
      <c r="A49" s="2">
        <f>'Day Agenda'!H56</f>
        <v>0</v>
      </c>
      <c r="B49" s="14">
        <f>TIME(HOUR($F$2),SUM(MINUTE($F$2),$A$2:$A49),0)</f>
        <v>0.4548611111111111</v>
      </c>
    </row>
    <row r="50" spans="1:2" x14ac:dyDescent="0.25">
      <c r="A50" s="2">
        <f>'Day Agenda'!H57</f>
        <v>0</v>
      </c>
      <c r="B50" s="14">
        <f>TIME(HOUR($F$2),SUM(MINUTE($F$2),$A$2:$A50),0)</f>
        <v>0.4548611111111111</v>
      </c>
    </row>
    <row r="51" spans="1:2" x14ac:dyDescent="0.25">
      <c r="A51" s="2">
        <f>'Day Agenda'!H58</f>
        <v>0</v>
      </c>
      <c r="B51" s="14">
        <f>TIME(HOUR($F$2),SUM(MINUTE($F$2),$A$2:$A51),0)</f>
        <v>0.4548611111111111</v>
      </c>
    </row>
    <row r="52" spans="1:2" x14ac:dyDescent="0.25">
      <c r="A52" s="2">
        <f>'Day Agenda'!H59</f>
        <v>0</v>
      </c>
      <c r="B52" s="14">
        <f>TIME(HOUR($F$2),SUM(MINUTE($F$2),$A$2:$A52),0)</f>
        <v>0.4548611111111111</v>
      </c>
    </row>
    <row r="53" spans="1:2" x14ac:dyDescent="0.25">
      <c r="A53" s="2">
        <f>'Day Agenda'!H60</f>
        <v>0</v>
      </c>
      <c r="B53" s="14">
        <f>TIME(HOUR($F$2),SUM(MINUTE($F$2),$A$2:$A53),0)</f>
        <v>0.4548611111111111</v>
      </c>
    </row>
    <row r="54" spans="1:2" x14ac:dyDescent="0.25">
      <c r="A54" s="2">
        <f>'Day Agenda'!H61</f>
        <v>0</v>
      </c>
      <c r="B54" s="14">
        <f>TIME(HOUR($F$2),SUM(MINUTE($F$2),$A$2:$A54),0)</f>
        <v>0.4548611111111111</v>
      </c>
    </row>
    <row r="55" spans="1:2" x14ac:dyDescent="0.25">
      <c r="A55" s="2">
        <f>'Day Agenda'!H62</f>
        <v>0</v>
      </c>
      <c r="B55" s="14">
        <f>TIME(HOUR($F$2),SUM(MINUTE($F$2),$A$2:$A55),0)</f>
        <v>0.4548611111111111</v>
      </c>
    </row>
    <row r="56" spans="1:2" x14ac:dyDescent="0.25">
      <c r="A56" s="2">
        <f>'Day Agenda'!H63</f>
        <v>0</v>
      </c>
      <c r="B56" s="14">
        <f>TIME(HOUR($F$2),SUM(MINUTE($F$2),$A$2:$A56),0)</f>
        <v>0.4548611111111111</v>
      </c>
    </row>
    <row r="57" spans="1:2" x14ac:dyDescent="0.25">
      <c r="A57" s="2">
        <f>'Day Agenda'!H64</f>
        <v>0</v>
      </c>
      <c r="B57" s="14">
        <f>TIME(HOUR($F$2),SUM(MINUTE($F$2),$A$2:$A57),0)</f>
        <v>0.4548611111111111</v>
      </c>
    </row>
    <row r="58" spans="1:2" x14ac:dyDescent="0.25">
      <c r="A58" s="2">
        <f>'Day Agenda'!H65</f>
        <v>0</v>
      </c>
      <c r="B58" s="14">
        <f>TIME(HOUR($F$2),SUM(MINUTE($F$2),$A$2:$A58),0)</f>
        <v>0.4548611111111111</v>
      </c>
    </row>
    <row r="59" spans="1:2" x14ac:dyDescent="0.25">
      <c r="A59" s="2">
        <f>'Day Agenda'!H66</f>
        <v>0</v>
      </c>
      <c r="B59" s="14">
        <f>TIME(HOUR($F$2),SUM(MINUTE($F$2),$A$2:$A59),0)</f>
        <v>0.4548611111111111</v>
      </c>
    </row>
    <row r="60" spans="1:2" x14ac:dyDescent="0.25">
      <c r="A60" s="2">
        <f>'Day Agenda'!H67</f>
        <v>0</v>
      </c>
      <c r="B60" s="14">
        <f>TIME(HOUR($F$2),SUM(MINUTE($F$2),$A$2:$A60),0)</f>
        <v>0.4548611111111111</v>
      </c>
    </row>
    <row r="61" spans="1:2" x14ac:dyDescent="0.25">
      <c r="A61" s="2">
        <f>'Day Agenda'!H68</f>
        <v>0</v>
      </c>
      <c r="B61" s="14">
        <f>TIME(HOUR($F$2),SUM(MINUTE($F$2),$A$2:$A61),0)</f>
        <v>0.4548611111111111</v>
      </c>
    </row>
    <row r="62" spans="1:2" x14ac:dyDescent="0.25">
      <c r="A62" s="2">
        <f>'Day Agenda'!H69</f>
        <v>0</v>
      </c>
      <c r="B62" s="14">
        <f>TIME(HOUR($F$2),SUM(MINUTE($F$2),$A$2:$A62),0)</f>
        <v>0.4548611111111111</v>
      </c>
    </row>
    <row r="63" spans="1:2" x14ac:dyDescent="0.25">
      <c r="A63" s="2">
        <f>'Day Agenda'!H70</f>
        <v>0</v>
      </c>
      <c r="B63" s="14">
        <f>TIME(HOUR($F$2),SUM(MINUTE($F$2),$A$2:$A63),0)</f>
        <v>0.4548611111111111</v>
      </c>
    </row>
    <row r="64" spans="1:2" x14ac:dyDescent="0.25">
      <c r="A64" s="2">
        <f>'Day Agenda'!H71</f>
        <v>0</v>
      </c>
      <c r="B64" s="14">
        <f>TIME(HOUR($F$2),SUM(MINUTE($F$2),$A$2:$A64),0)</f>
        <v>0.4548611111111111</v>
      </c>
    </row>
    <row r="65" spans="1:2" x14ac:dyDescent="0.25">
      <c r="A65" s="2">
        <f>'Day Agenda'!H72</f>
        <v>0</v>
      </c>
      <c r="B65" s="14">
        <f>TIME(HOUR($F$2),SUM(MINUTE($F$2),$A$2:$A65),0)</f>
        <v>0.4548611111111111</v>
      </c>
    </row>
    <row r="66" spans="1:2" x14ac:dyDescent="0.25">
      <c r="A66" s="2">
        <f>'Day Agenda'!H73</f>
        <v>0</v>
      </c>
      <c r="B66" s="14">
        <f>TIME(HOUR($F$2),SUM(MINUTE($F$2),$A$2:$A66),0)</f>
        <v>0.4548611111111111</v>
      </c>
    </row>
    <row r="67" spans="1:2" x14ac:dyDescent="0.25">
      <c r="A67" s="2">
        <f>'Day Agenda'!H74</f>
        <v>0</v>
      </c>
      <c r="B67" s="14">
        <f>TIME(HOUR($F$2),SUM(MINUTE($F$2),$A$2:$A67),0)</f>
        <v>0.4548611111111111</v>
      </c>
    </row>
    <row r="68" spans="1:2" x14ac:dyDescent="0.25">
      <c r="A68" s="2">
        <f>'Day Agenda'!H75</f>
        <v>0</v>
      </c>
      <c r="B68" s="14">
        <f>TIME(HOUR($F$2),SUM(MINUTE($F$2),$A$2:$A68),0)</f>
        <v>0.4548611111111111</v>
      </c>
    </row>
    <row r="69" spans="1:2" ht="15.75" thickBot="1" x14ac:dyDescent="0.3">
      <c r="A69" s="2">
        <f>'Day Agenda'!H76</f>
        <v>0</v>
      </c>
      <c r="B69" s="14">
        <f>TIME(HOUR($F$2),SUM(MINUTE($F$2),$A$2:$A69),0)</f>
        <v>0.4548611111111111</v>
      </c>
    </row>
    <row r="70" spans="1:2" ht="15.75" thickTop="1" x14ac:dyDescent="0.25">
      <c r="B70"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Sheet1</vt:lpstr>
      <vt:lpstr>Day Agenda</vt:lpstr>
      <vt:lpstr>Time</vt:lpstr>
      <vt:lpstr>'Day Agenda'!Print_Titles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dc:creator>
  <cp:lastModifiedBy>Sani</cp:lastModifiedBy>
  <cp:lastPrinted>2020-05-11T10:13:46Z</cp:lastPrinted>
  <dcterms:created xsi:type="dcterms:W3CDTF">2019-08-21T15:27:38Z</dcterms:created>
  <dcterms:modified xsi:type="dcterms:W3CDTF">2020-05-11T10:24:17Z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c36755fc-44d2-4f59-acc9-60d857d9e42a</vt:lpwstr>
  </property>
</Properties>
</file>